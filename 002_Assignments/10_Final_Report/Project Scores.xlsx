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mcnguyen/SoftwareDev/CAP-6640-Computer_Understanding_of_Natural_Language/002_Assignments/10_Final_Report/"/>
    </mc:Choice>
  </mc:AlternateContent>
  <xr:revisionPtr revIDLastSave="0" documentId="13_ncr:1_{224C0080-30BE-3748-84C9-4D91B3C6C63B}" xr6:coauthVersionLast="47" xr6:coauthVersionMax="47" xr10:uidLastSave="{00000000-0000-0000-0000-000000000000}"/>
  <bookViews>
    <workbookView xWindow="-46520" yWindow="-2000" windowWidth="28040" windowHeight="23500" xr2:uid="{01BFF9C2-1B7E-DF4E-A0CE-2A899CF11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9" i="1"/>
  <c r="E9" i="1" s="1"/>
  <c r="B10" i="1"/>
  <c r="E10" i="1" s="1"/>
  <c r="B8" i="1"/>
  <c r="D9" i="1"/>
  <c r="D10" i="1"/>
  <c r="D8" i="1"/>
  <c r="C9" i="1"/>
  <c r="C10" i="1"/>
  <c r="C8" i="1"/>
</calcChain>
</file>

<file path=xl/sharedStrings.xml><?xml version="1.0" encoding="utf-8"?>
<sst xmlns="http://schemas.openxmlformats.org/spreadsheetml/2006/main" count="13" uniqueCount="13">
  <si>
    <t>Items Tested</t>
  </si>
  <si>
    <t>Error Logs Detected</t>
  </si>
  <si>
    <t>Actual</t>
  </si>
  <si>
    <t>Excessive Logins per CorrelationID Detected (5/minute)</t>
  </si>
  <si>
    <t>Excessive Wrong Passwords</t>
  </si>
  <si>
    <t>Precision</t>
  </si>
  <si>
    <t>Accuracy</t>
  </si>
  <si>
    <t>Recall</t>
  </si>
  <si>
    <t>F1-Score</t>
  </si>
  <si>
    <t>True Detected</t>
  </si>
  <si>
    <t>False Detected</t>
  </si>
  <si>
    <t>True Negative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</si>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</sst>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9" xfId="0" applyNumberFormat="1" applyBorder="1" applyAlignment="1">
      <alignment wrapText="1"/>
    </xf>
    <xf numFmtId="0" fontId="0" fillId="0" borderId="2" xfId="0" applyBorder="1" applyAlignment="1">
      <alignment wrapText="1"/>
    </xf>
    <xf numFmtId="2" fontId="0" fillId="0" borderId="5" xfId="0" applyNumberFormat="1" applyBorder="1" applyAlignment="1">
      <alignment wrapText="1"/>
    </xf>
    <xf numFmtId="2" fontId="0" fillId="0" borderId="7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8F88-AEDC-5646-8982-DC28AEDF9232}">
  <dimension ref="B1:G11"/>
  <sheetViews>
    <sheetView tabSelected="1" zoomScale="150" zoomScaleNormal="150" workbookViewId="0">
      <selection activeCell="D25" sqref="D25"/>
    </sheetView>
  </sheetViews>
  <sheetFormatPr baseColWidth="10" defaultRowHeight="16" x14ac:dyDescent="0.2"/>
  <cols>
    <col min="2" max="2" width="30.1640625" customWidth="1"/>
    <col min="3" max="3" width="16.33203125" customWidth="1"/>
    <col min="4" max="4" width="12.6640625" bestFit="1" customWidth="1"/>
    <col min="5" max="5" width="13.33203125" bestFit="1" customWidth="1"/>
    <col min="6" max="6" width="12.6640625" bestFit="1" customWidth="1"/>
    <col min="7" max="7" width="13.33203125" bestFit="1" customWidth="1"/>
    <col min="8" max="8" width="8.5" bestFit="1" customWidth="1"/>
    <col min="9" max="9" width="8.33203125" bestFit="1" customWidth="1"/>
    <col min="10" max="10" width="6.1640625" bestFit="1" customWidth="1"/>
    <col min="11" max="11" width="8.33203125" bestFit="1" customWidth="1"/>
  </cols>
  <sheetData>
    <row r="1" spans="2:7" ht="18" thickTop="1" x14ac:dyDescent="0.2">
      <c r="B1" s="1" t="s">
        <v>0</v>
      </c>
      <c r="C1" s="2" t="s">
        <v>2</v>
      </c>
      <c r="D1" s="2" t="s">
        <v>9</v>
      </c>
      <c r="E1" s="2" t="s">
        <v>10</v>
      </c>
      <c r="F1" s="2" t="s">
        <v>11</v>
      </c>
      <c r="G1" s="3" t="s">
        <v>12</v>
      </c>
    </row>
    <row r="2" spans="2:7" ht="17" x14ac:dyDescent="0.2">
      <c r="B2" s="4" t="s">
        <v>1</v>
      </c>
      <c r="C2" s="5">
        <v>20</v>
      </c>
      <c r="D2" s="5">
        <v>20</v>
      </c>
      <c r="E2" s="5">
        <v>0</v>
      </c>
      <c r="F2" s="5">
        <v>0</v>
      </c>
      <c r="G2" s="6">
        <v>0</v>
      </c>
    </row>
    <row r="3" spans="2:7" ht="34" x14ac:dyDescent="0.2">
      <c r="B3" s="4" t="s">
        <v>3</v>
      </c>
      <c r="C3" s="5">
        <v>5</v>
      </c>
      <c r="D3" s="5">
        <v>5</v>
      </c>
      <c r="E3" s="5">
        <v>3</v>
      </c>
      <c r="F3" s="5">
        <v>0</v>
      </c>
      <c r="G3" s="6">
        <v>0</v>
      </c>
    </row>
    <row r="4" spans="2:7" ht="18" thickBot="1" x14ac:dyDescent="0.25">
      <c r="B4" s="7" t="s">
        <v>4</v>
      </c>
      <c r="C4" s="8">
        <v>5</v>
      </c>
      <c r="D4" s="8">
        <v>5</v>
      </c>
      <c r="E4" s="8">
        <v>1</v>
      </c>
      <c r="F4" s="8">
        <v>0</v>
      </c>
      <c r="G4" s="9">
        <v>0</v>
      </c>
    </row>
    <row r="5" spans="2:7" ht="17" thickTop="1" x14ac:dyDescent="0.2">
      <c r="B5" s="10"/>
      <c r="C5" s="10"/>
      <c r="D5" s="10"/>
      <c r="E5" s="10"/>
      <c r="F5" s="10"/>
      <c r="G5" s="10"/>
    </row>
    <row r="6" spans="2:7" ht="17" thickBot="1" x14ac:dyDescent="0.25">
      <c r="B6" s="10"/>
      <c r="C6" s="10"/>
      <c r="D6" s="10"/>
      <c r="E6" s="10"/>
      <c r="F6" s="10"/>
      <c r="G6" s="10"/>
    </row>
    <row r="7" spans="2:7" ht="18" thickTop="1" x14ac:dyDescent="0.2">
      <c r="B7" s="15" t="s">
        <v>5</v>
      </c>
      <c r="C7" s="2" t="s">
        <v>6</v>
      </c>
      <c r="D7" s="2" t="s">
        <v>7</v>
      </c>
      <c r="E7" s="3" t="s">
        <v>8</v>
      </c>
      <c r="F7" s="10"/>
      <c r="G7" s="10"/>
    </row>
    <row r="8" spans="2:7" x14ac:dyDescent="0.2">
      <c r="B8" s="16">
        <f>D2/(D2+E2)</f>
        <v>1</v>
      </c>
      <c r="C8" s="11">
        <f>(D2+E2)/(D2+E2+F2+G2)</f>
        <v>1</v>
      </c>
      <c r="D8" s="11">
        <f>D2/(D2+G2)</f>
        <v>1</v>
      </c>
      <c r="E8" s="12">
        <f>2*(B8*D8)/(B8+D8)</f>
        <v>1</v>
      </c>
      <c r="F8" s="10"/>
      <c r="G8" s="10"/>
    </row>
    <row r="9" spans="2:7" x14ac:dyDescent="0.2">
      <c r="B9" s="16">
        <f>D3/(D3+E3)</f>
        <v>0.625</v>
      </c>
      <c r="C9" s="11">
        <f>(D3+E3)/(D3+E3+F3+G3)</f>
        <v>1</v>
      </c>
      <c r="D9" s="11">
        <f>D3/(D3+G3)</f>
        <v>1</v>
      </c>
      <c r="E9" s="12">
        <f t="shared" ref="E9:E10" si="0">2*(B9*D9)/(B9+D9)</f>
        <v>0.76923076923076927</v>
      </c>
      <c r="F9" s="10"/>
      <c r="G9" s="10"/>
    </row>
    <row r="10" spans="2:7" ht="17" thickBot="1" x14ac:dyDescent="0.25">
      <c r="B10" s="17">
        <f>D4/(D4+E4)</f>
        <v>0.83333333333333337</v>
      </c>
      <c r="C10" s="13">
        <f>(D4+E4)/(D4+E4+F4+G4)</f>
        <v>1</v>
      </c>
      <c r="D10" s="13">
        <f>D4/(D4+G4)</f>
        <v>1</v>
      </c>
      <c r="E10" s="14">
        <f t="shared" si="0"/>
        <v>0.90909090909090906</v>
      </c>
      <c r="F10" s="10"/>
      <c r="G10" s="10"/>
    </row>
    <row r="11" spans="2:7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2026-04-16T20:26:59Z</dcterms:created>
  <dcterms:modified xsi:type="dcterms:W3CDTF">2026-04-16T22:34:56Z</dcterms:modified>
</cp:coreProperties>
</file>